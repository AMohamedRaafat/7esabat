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asxSC+/MUl4CTZgxwvcDaRgHmsBzIuKZ0EeYhH8E8w="/>
    </ext>
  </extLst>
</workbook>
</file>

<file path=xl/sharedStrings.xml><?xml version="1.0" encoding="utf-8"?>
<sst xmlns="http://schemas.openxmlformats.org/spreadsheetml/2006/main" count="23" uniqueCount="9">
  <si>
    <t>تم الدفع؟</t>
  </si>
  <si>
    <t>تاريخ الجمعية</t>
  </si>
  <si>
    <t>رقم الدور</t>
  </si>
  <si>
    <t>هل أنا المستفيد؟</t>
  </si>
  <si>
    <t>مدفوعاتي الشهرية</t>
  </si>
  <si>
    <t>رقم الشهر</t>
  </si>
  <si>
    <t>لا</t>
  </si>
  <si>
    <t>قبض</t>
  </si>
  <si>
    <t>عدد الشهور المدفوعة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</si>
</sst>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Verdana"/>
      <scheme val="minor"/>
    </font>
    <font>
      <b/>
      <sz val="11.0"/>
      <color theme="1"/>
      <name val="Cairo"/>
    </font>
    <font>
      <sz val="11.0"/>
      <color theme="1"/>
      <name val="Cairo"/>
    </font>
    <font>
      <b/>
      <sz val="11.0"/>
      <color rgb="FF1A1A1A"/>
      <name val="Cairo"/>
    </font>
    <font>
      <b/>
      <sz val="16.0"/>
      <color rgb="FFFFFFFF"/>
      <name val="Verdana"/>
      <scheme val="minor"/>
    </font>
    <font>
      <b/>
      <sz val="16.0"/>
      <color rgb="FFFFFFFF"/>
      <name val="Cairo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4">
    <border/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1" numFmtId="164" xfId="0" applyAlignment="1" applyBorder="1" applyFont="1" applyNumberFormat="1">
      <alignment horizontal="center" readingOrder="2" shrinkToFit="0" vertical="center" wrapText="1"/>
    </xf>
    <xf borderId="2" fillId="0" fontId="1" numFmtId="0" xfId="0" applyAlignment="1" applyBorder="1" applyFont="1">
      <alignment horizontal="center" readingOrder="2" shrinkToFit="0" vertical="center" wrapText="1"/>
    </xf>
    <xf borderId="2" fillId="0" fontId="3" numFmtId="0" xfId="0" applyAlignment="1" applyBorder="1" applyFont="1">
      <alignment horizontal="center" readingOrder="2" shrinkToFit="0" vertical="center" wrapText="1"/>
    </xf>
    <xf borderId="2" fillId="0" fontId="1" numFmtId="3" xfId="0" applyAlignment="1" applyBorder="1" applyFont="1" applyNumberFormat="1">
      <alignment horizontal="center" readingOrder="2" shrinkToFit="0" vertical="center" wrapText="1"/>
    </xf>
    <xf borderId="3" fillId="0" fontId="1" numFmtId="0" xfId="0" applyAlignment="1" applyBorder="1" applyFont="1">
      <alignment horizontal="center" readingOrder="2" shrinkToFit="0" vertical="center" wrapText="1"/>
    </xf>
    <xf borderId="2" fillId="0" fontId="1" numFmtId="0" xfId="0" applyAlignment="1" applyBorder="1" applyFont="1">
      <alignment horizontal="center" readingOrder="2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2" shrinkToFit="0" vertical="center" wrapText="1"/>
    </xf>
    <xf borderId="0" fillId="2" fontId="4" numFmtId="0" xfId="0" applyAlignment="1" applyFill="1" applyFont="1">
      <alignment horizontal="center" vertical="center"/>
    </xf>
    <xf borderId="0" fillId="2" fontId="5" numFmtId="0" xfId="0" applyAlignment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8" displayName="Table1" name="Table1" id="1">
  <tableColumns count="6">
    <tableColumn name="تم الدفع؟" id="1"/>
    <tableColumn name="تاريخ الجمعية" id="2"/>
    <tableColumn name="رقم الدور" id="3"/>
    <tableColumn name="هل أنا المستفيد؟" id="4"/>
    <tableColumn name="مدفوعاتي الشهرية" id="5"/>
    <tableColumn name="رقم الشهر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18.67"/>
    <col customWidth="1" min="3" max="3" width="18.33"/>
    <col customWidth="1" min="4" max="4" width="17.78"/>
    <col customWidth="1" min="5" max="5" width="19.44"/>
    <col customWidth="1" min="6" max="6" width="19.22"/>
    <col customWidth="1" min="8" max="26" width="6.7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b">
        <v>1</v>
      </c>
      <c r="B2" s="4">
        <f>DATE(2026,2,1)</f>
        <v>46054</v>
      </c>
      <c r="C2" s="5">
        <f t="shared" ref="C2:C18" si="1">F2</f>
        <v>1</v>
      </c>
      <c r="D2" s="6" t="s">
        <v>6</v>
      </c>
      <c r="E2" s="7">
        <v>2000.0</v>
      </c>
      <c r="F2" s="8">
        <f t="shared" ref="F2:F18" si="2">ROW()-1</f>
        <v>1</v>
      </c>
    </row>
    <row r="3" ht="22.5" customHeight="1">
      <c r="A3" s="3" t="b">
        <v>1</v>
      </c>
      <c r="B3" s="4">
        <f t="shared" ref="B3:B18" si="3">EDATE($B$2,F3-1)</f>
        <v>46082</v>
      </c>
      <c r="C3" s="5">
        <f t="shared" si="1"/>
        <v>2</v>
      </c>
      <c r="D3" s="9" t="str">
        <f>IF(OR(C3=2,C3=7),"قبض",IF(F3=18,"آخر شهر",""))</f>
        <v>قبض</v>
      </c>
      <c r="E3" s="7">
        <v>2000.0</v>
      </c>
      <c r="F3" s="8">
        <f t="shared" si="2"/>
        <v>2</v>
      </c>
    </row>
    <row r="4" ht="22.5" customHeight="1">
      <c r="A4" s="10" t="b">
        <v>1</v>
      </c>
      <c r="B4" s="4">
        <f t="shared" si="3"/>
        <v>46113</v>
      </c>
      <c r="C4" s="5">
        <f t="shared" si="1"/>
        <v>3</v>
      </c>
      <c r="D4" s="6" t="s">
        <v>6</v>
      </c>
      <c r="E4" s="7">
        <v>2000.0</v>
      </c>
      <c r="F4" s="8">
        <f t="shared" si="2"/>
        <v>3</v>
      </c>
    </row>
    <row r="5" ht="22.5" customHeight="1">
      <c r="A5" s="10" t="b">
        <v>1</v>
      </c>
      <c r="B5" s="4">
        <f t="shared" si="3"/>
        <v>46143</v>
      </c>
      <c r="C5" s="5">
        <f t="shared" si="1"/>
        <v>4</v>
      </c>
      <c r="D5" s="6" t="s">
        <v>6</v>
      </c>
      <c r="E5" s="7">
        <v>2000.0</v>
      </c>
      <c r="F5" s="8">
        <f t="shared" si="2"/>
        <v>4</v>
      </c>
    </row>
    <row r="6" ht="22.5" customHeight="1">
      <c r="A6" s="10" t="b">
        <v>0</v>
      </c>
      <c r="B6" s="4">
        <f t="shared" si="3"/>
        <v>46174</v>
      </c>
      <c r="C6" s="5">
        <f t="shared" si="1"/>
        <v>5</v>
      </c>
      <c r="D6" s="6" t="s">
        <v>6</v>
      </c>
      <c r="E6" s="7">
        <v>2000.0</v>
      </c>
      <c r="F6" s="8">
        <f t="shared" si="2"/>
        <v>5</v>
      </c>
    </row>
    <row r="7" ht="22.5" customHeight="1">
      <c r="A7" s="10" t="b">
        <v>0</v>
      </c>
      <c r="B7" s="4">
        <f t="shared" si="3"/>
        <v>46204</v>
      </c>
      <c r="C7" s="5">
        <f t="shared" si="1"/>
        <v>6</v>
      </c>
      <c r="D7" s="6" t="s">
        <v>6</v>
      </c>
      <c r="E7" s="7">
        <v>2000.0</v>
      </c>
      <c r="F7" s="8">
        <f t="shared" si="2"/>
        <v>6</v>
      </c>
    </row>
    <row r="8" ht="22.5" customHeight="1">
      <c r="A8" s="10" t="b">
        <v>0</v>
      </c>
      <c r="B8" s="4">
        <f t="shared" si="3"/>
        <v>46235</v>
      </c>
      <c r="C8" s="5">
        <f t="shared" si="1"/>
        <v>7</v>
      </c>
      <c r="D8" s="6" t="s">
        <v>7</v>
      </c>
      <c r="E8" s="7">
        <v>2000.0</v>
      </c>
      <c r="F8" s="8">
        <f t="shared" si="2"/>
        <v>7</v>
      </c>
    </row>
    <row r="9" ht="22.5" customHeight="1">
      <c r="A9" s="10" t="b">
        <v>0</v>
      </c>
      <c r="B9" s="4">
        <f t="shared" si="3"/>
        <v>46266</v>
      </c>
      <c r="C9" s="5">
        <f t="shared" si="1"/>
        <v>8</v>
      </c>
      <c r="D9" s="11" t="s">
        <v>6</v>
      </c>
      <c r="E9" s="7">
        <v>2000.0</v>
      </c>
      <c r="F9" s="8">
        <f t="shared" si="2"/>
        <v>8</v>
      </c>
    </row>
    <row r="10" ht="22.5" customHeight="1">
      <c r="A10" s="10" t="b">
        <v>0</v>
      </c>
      <c r="B10" s="4">
        <f t="shared" si="3"/>
        <v>46296</v>
      </c>
      <c r="C10" s="5">
        <f t="shared" si="1"/>
        <v>9</v>
      </c>
      <c r="D10" s="6" t="s">
        <v>6</v>
      </c>
      <c r="E10" s="7">
        <v>2000.0</v>
      </c>
      <c r="F10" s="8">
        <f t="shared" si="2"/>
        <v>9</v>
      </c>
    </row>
    <row r="11" ht="22.5" customHeight="1">
      <c r="A11" s="10" t="b">
        <v>0</v>
      </c>
      <c r="B11" s="4">
        <f t="shared" si="3"/>
        <v>46327</v>
      </c>
      <c r="C11" s="5">
        <f t="shared" si="1"/>
        <v>10</v>
      </c>
      <c r="D11" s="6" t="s">
        <v>6</v>
      </c>
      <c r="E11" s="7">
        <v>2000.0</v>
      </c>
      <c r="F11" s="8">
        <f t="shared" si="2"/>
        <v>10</v>
      </c>
    </row>
    <row r="12" ht="22.5" customHeight="1">
      <c r="A12" s="10" t="b">
        <v>0</v>
      </c>
      <c r="B12" s="4">
        <f t="shared" si="3"/>
        <v>46357</v>
      </c>
      <c r="C12" s="5">
        <f t="shared" si="1"/>
        <v>11</v>
      </c>
      <c r="D12" s="6" t="s">
        <v>6</v>
      </c>
      <c r="E12" s="7">
        <v>2000.0</v>
      </c>
      <c r="F12" s="8">
        <f t="shared" si="2"/>
        <v>11</v>
      </c>
    </row>
    <row r="13" ht="22.5" customHeight="1">
      <c r="A13" s="10" t="b">
        <v>0</v>
      </c>
      <c r="B13" s="4">
        <f t="shared" si="3"/>
        <v>46388</v>
      </c>
      <c r="C13" s="5">
        <f t="shared" si="1"/>
        <v>12</v>
      </c>
      <c r="D13" s="6" t="s">
        <v>6</v>
      </c>
      <c r="E13" s="7">
        <v>2000.0</v>
      </c>
      <c r="F13" s="8">
        <f t="shared" si="2"/>
        <v>12</v>
      </c>
    </row>
    <row r="14" ht="22.5" customHeight="1">
      <c r="A14" s="10" t="b">
        <v>0</v>
      </c>
      <c r="B14" s="4">
        <f t="shared" si="3"/>
        <v>46419</v>
      </c>
      <c r="C14" s="5">
        <f t="shared" si="1"/>
        <v>13</v>
      </c>
      <c r="D14" s="6" t="s">
        <v>6</v>
      </c>
      <c r="E14" s="7">
        <v>2000.0</v>
      </c>
      <c r="F14" s="8">
        <f t="shared" si="2"/>
        <v>13</v>
      </c>
    </row>
    <row r="15" ht="22.5" customHeight="1">
      <c r="A15" s="10" t="b">
        <v>0</v>
      </c>
      <c r="B15" s="4">
        <f t="shared" si="3"/>
        <v>46447</v>
      </c>
      <c r="C15" s="5">
        <f t="shared" si="1"/>
        <v>14</v>
      </c>
      <c r="D15" s="6" t="s">
        <v>6</v>
      </c>
      <c r="E15" s="7">
        <v>2000.0</v>
      </c>
      <c r="F15" s="8">
        <f t="shared" si="2"/>
        <v>14</v>
      </c>
    </row>
    <row r="16" ht="22.5" customHeight="1">
      <c r="A16" s="10" t="b">
        <v>0</v>
      </c>
      <c r="B16" s="4">
        <f t="shared" si="3"/>
        <v>46478</v>
      </c>
      <c r="C16" s="5">
        <f t="shared" si="1"/>
        <v>15</v>
      </c>
      <c r="D16" s="6" t="s">
        <v>6</v>
      </c>
      <c r="E16" s="7">
        <v>2000.0</v>
      </c>
      <c r="F16" s="8">
        <f t="shared" si="2"/>
        <v>15</v>
      </c>
    </row>
    <row r="17" ht="22.5" customHeight="1">
      <c r="A17" s="10" t="b">
        <v>0</v>
      </c>
      <c r="B17" s="4">
        <f t="shared" si="3"/>
        <v>46508</v>
      </c>
      <c r="C17" s="5">
        <f t="shared" si="1"/>
        <v>16</v>
      </c>
      <c r="D17" s="6" t="s">
        <v>6</v>
      </c>
      <c r="E17" s="7">
        <v>2000.0</v>
      </c>
      <c r="F17" s="8">
        <f t="shared" si="2"/>
        <v>16</v>
      </c>
    </row>
    <row r="18" ht="22.5" customHeight="1">
      <c r="A18" s="10" t="b">
        <v>0</v>
      </c>
      <c r="B18" s="4">
        <f t="shared" si="3"/>
        <v>46539</v>
      </c>
      <c r="C18" s="5">
        <f t="shared" si="1"/>
        <v>17</v>
      </c>
      <c r="D18" s="6" t="s">
        <v>6</v>
      </c>
      <c r="E18" s="7">
        <v>2000.0</v>
      </c>
      <c r="F18" s="8">
        <f t="shared" si="2"/>
        <v>17</v>
      </c>
    </row>
    <row r="19">
      <c r="A19" s="12">
        <f>COUNTIF(A2:A18,true)</f>
        <v>4</v>
      </c>
      <c r="C19" s="13" t="s">
        <v>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9:B20"/>
    <mergeCell ref="C19:F20"/>
  </mergeCells>
  <dataValidations>
    <dataValidation type="custom" allowBlank="1" showDropDown="1" sqref="B2:B18">
      <formula1>OR(NOT(ISERROR(DATEVALUE(B2))), AND(ISNUMBER(B2), LEFT(CELL("format", B2))="D"))</formula1>
    </dataValidation>
    <dataValidation type="custom" allowBlank="1" showDropDown="1" sqref="C2:C18 E2:F18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2026-03-11T17:29:40Z</dcterms:created>
</cp:coreProperties>
</file>